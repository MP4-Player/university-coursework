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<sst xmlns="http://schemas.openxmlformats.org/spreadsheetml/2006/main" count="53" uniqueCount="30">
  <si>
    <t xml:space="preserve">№ конторольной</t>
  </si>
  <si>
    <t xml:space="preserve">1. Неопределённые интегралы</t>
  </si>
  <si>
    <t xml:space="preserve">2. Определённые интегралы</t>
  </si>
  <si>
    <t xml:space="preserve">3. Диф. ур.</t>
  </si>
  <si>
    <t xml:space="preserve">№ задания</t>
  </si>
  <si>
    <t xml:space="preserve">Вариант</t>
  </si>
  <si>
    <t xml:space="preserve">1 (общ.)</t>
  </si>
  <si>
    <t xml:space="preserve">2 (замена)</t>
  </si>
  <si>
    <t xml:space="preserve">3 (по час.)</t>
  </si>
  <si>
    <t xml:space="preserve">4 (рац.)</t>
  </si>
  <si>
    <t xml:space="preserve">5 (триг.)</t>
  </si>
  <si>
    <t xml:space="preserve">6 (иррац.)</t>
  </si>
  <si>
    <t xml:space="preserve">7 (доп.)</t>
  </si>
  <si>
    <t xml:space="preserve">Результат1</t>
  </si>
  <si>
    <t xml:space="preserve">1 (текст.)</t>
  </si>
  <si>
    <t xml:space="preserve">2 (параметр)</t>
  </si>
  <si>
    <t xml:space="preserve">3 (поляр.)</t>
  </si>
  <si>
    <t xml:space="preserve">4 (вращ.)</t>
  </si>
  <si>
    <t xml:space="preserve">5 (дуга.)</t>
  </si>
  <si>
    <t xml:space="preserve">6 (несоб..)</t>
  </si>
  <si>
    <t xml:space="preserve">Результат2</t>
  </si>
  <si>
    <t xml:space="preserve">1 (с разд.)</t>
  </si>
  <si>
    <t xml:space="preserve">2 (однород.)</t>
  </si>
  <si>
    <t xml:space="preserve">3 (лин.)</t>
  </si>
  <si>
    <t xml:space="preserve">4 (Бернулли.)</t>
  </si>
  <si>
    <t xml:space="preserve">5 (доп.)</t>
  </si>
  <si>
    <t xml:space="preserve">Результат3</t>
  </si>
  <si>
    <t xml:space="preserve">ID</t>
  </si>
  <si>
    <t xml:space="preserve">М</t>
  </si>
  <si>
    <t xml:space="preserve">Ж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</si>
</sst>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Arial"/>
      <family val="0"/>
      <charset val="1"/>
    </font>
    <font>
      <sz val="14"/>
      <color rgb="FF000000"/>
      <name val="Arial"/>
      <family val="2"/>
      <charset val="204"/>
    </font>
    <font>
      <sz val="14"/>
      <color rgb="FF000000"/>
      <name val="Arial"/>
      <family val="0"/>
      <charset val="1"/>
    </font>
    <font>
      <sz val="10"/>
      <name val="Arial"/>
      <family val="0"/>
      <charset val="1"/>
    </font>
    <font>
      <sz val="14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Z2" activeCellId="0" sqref="Z2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19.42"/>
    <col collapsed="false" customWidth="true" hidden="false" outlineLevel="0" max="2" min="2" style="0" width="13.42"/>
  </cols>
  <sheetData>
    <row r="1" customFormat="false" ht="12.75" hidden="false" customHeight="false" outlineLevel="0" collapsed="false">
      <c r="A1" s="1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K1" s="3"/>
      <c r="L1" s="3" t="s">
        <v>2</v>
      </c>
      <c r="M1" s="3"/>
      <c r="N1" s="3"/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</row>
    <row r="2" customFormat="false" ht="12.75" hidden="false" customHeight="false" outlineLevel="0" collapsed="false">
      <c r="A2" s="4" t="s">
        <v>4</v>
      </c>
      <c r="B2" s="5"/>
      <c r="C2" s="6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11</v>
      </c>
      <c r="J2" s="7" t="s">
        <v>12</v>
      </c>
      <c r="K2" s="8" t="s">
        <v>13</v>
      </c>
      <c r="L2" s="6" t="s">
        <v>5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12</v>
      </c>
      <c r="T2" s="8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8" t="s">
        <v>26</v>
      </c>
    </row>
    <row r="3" customFormat="false" ht="15.75" hidden="false" customHeight="true" outlineLevel="0" collapsed="false">
      <c r="A3" s="9" t="s">
        <v>27</v>
      </c>
      <c r="B3" s="10"/>
      <c r="C3" s="11"/>
      <c r="D3" s="12"/>
      <c r="E3" s="12"/>
      <c r="F3" s="12"/>
      <c r="G3" s="12"/>
      <c r="H3" s="12"/>
      <c r="I3" s="12"/>
      <c r="J3" s="12"/>
      <c r="K3" s="13"/>
      <c r="L3" s="11"/>
      <c r="M3" s="12"/>
      <c r="N3" s="12"/>
      <c r="O3" s="12"/>
      <c r="P3" s="12"/>
      <c r="Q3" s="12"/>
      <c r="R3" s="12"/>
      <c r="S3" s="12"/>
      <c r="T3" s="13"/>
      <c r="U3" s="12"/>
      <c r="V3" s="12"/>
      <c r="W3" s="12"/>
      <c r="X3" s="12"/>
      <c r="Y3" s="12"/>
      <c r="Z3" s="13"/>
    </row>
    <row r="4" customFormat="false" ht="15.75" hidden="false" customHeight="true" outlineLevel="0" collapsed="false">
      <c r="A4" s="14" t="n">
        <v>337802</v>
      </c>
      <c r="B4" s="15" t="s">
        <v>28</v>
      </c>
      <c r="C4" s="16"/>
      <c r="D4" s="17" t="n">
        <v>0</v>
      </c>
      <c r="E4" s="18"/>
      <c r="F4" s="18"/>
      <c r="G4" s="18"/>
      <c r="H4" s="18"/>
      <c r="I4" s="18"/>
      <c r="J4" s="19"/>
      <c r="K4" s="20" t="n">
        <f aca="false">IF( ROUND(AVERAGE(D4:I4)+J4*$J$27,2)&gt;1,1,ROUND(AVERAGE(D4:I4)+J4*$J$27,2))</f>
        <v>0</v>
      </c>
      <c r="L4" s="16" t="n">
        <v>1</v>
      </c>
      <c r="M4" s="21" t="n">
        <v>1</v>
      </c>
      <c r="N4" s="22" t="n">
        <v>0.6</v>
      </c>
      <c r="O4" s="22" t="n">
        <v>0.6</v>
      </c>
      <c r="P4" s="22" t="n">
        <v>0.2</v>
      </c>
      <c r="Q4" s="22" t="n">
        <v>0.7</v>
      </c>
      <c r="R4" s="22" t="n">
        <v>0</v>
      </c>
      <c r="S4" s="23"/>
      <c r="T4" s="24" t="n">
        <f aca="false">IF( ROUND(AVERAGE(M4:R4)+S4*$J$27,2)&gt;1,1,ROUND(AVERAGE(M4:R4)+S4*$J$27,2))</f>
        <v>0.52</v>
      </c>
      <c r="U4" s="21" t="n">
        <v>0</v>
      </c>
      <c r="V4" s="22"/>
      <c r="W4" s="22"/>
      <c r="X4" s="22"/>
      <c r="Y4" s="25"/>
      <c r="Z4" s="24" t="n">
        <f aca="false">IF( ROUND(AVERAGE(U4:X4)+Y4*$Y$27,2)&gt;1,1,ROUND(AVERAGE(U4:X4)+Y4*$Y$27,2))</f>
        <v>0</v>
      </c>
    </row>
    <row r="5" customFormat="false" ht="15.75" hidden="false" customHeight="true" outlineLevel="0" collapsed="false">
      <c r="A5" s="14" t="n">
        <v>24857</v>
      </c>
      <c r="B5" s="15" t="s">
        <v>28</v>
      </c>
      <c r="C5" s="26"/>
      <c r="D5" s="27" t="n">
        <v>0</v>
      </c>
      <c r="J5" s="28" t="n">
        <v>1.2</v>
      </c>
      <c r="K5" s="20" t="n">
        <f aca="false">IF( ROUND(AVERAGE(D5:I5)+J5*$J$27,2)&gt;1,1,ROUND(AVERAGE(D5:I5)+J5*$J$27,2))</f>
        <v>0.24</v>
      </c>
      <c r="L5" s="26" t="n">
        <v>1</v>
      </c>
      <c r="M5" s="29" t="n">
        <v>1</v>
      </c>
      <c r="N5" s="30" t="n">
        <v>0</v>
      </c>
      <c r="O5" s="30" t="n">
        <v>0.8</v>
      </c>
      <c r="P5" s="30" t="n">
        <v>1</v>
      </c>
      <c r="Q5" s="30" t="n">
        <v>0.8</v>
      </c>
      <c r="R5" s="30" t="n">
        <v>1</v>
      </c>
      <c r="S5" s="31"/>
      <c r="T5" s="24" t="n">
        <f aca="false">IF( ROUND(AVERAGE(M5:R5)+S5*$J$27,2)&gt;1,1,ROUND(AVERAGE(M5:R5)+S5*$J$27,2))</f>
        <v>0.77</v>
      </c>
      <c r="U5" s="29" t="n">
        <v>0.8</v>
      </c>
      <c r="V5" s="30" t="n">
        <v>1</v>
      </c>
      <c r="W5" s="30" t="n">
        <v>1</v>
      </c>
      <c r="X5" s="30" t="n">
        <v>1</v>
      </c>
      <c r="Y5" s="32"/>
      <c r="Z5" s="24" t="n">
        <f aca="false">IF( ROUND(AVERAGE(U5:X5)+Y5*$Y$27,2)&gt;1,1,ROUND(AVERAGE(U5:X5)+Y5*$Y$27,2))</f>
        <v>0.95</v>
      </c>
    </row>
    <row r="6" customFormat="false" ht="15.75" hidden="false" customHeight="true" outlineLevel="0" collapsed="false">
      <c r="A6" s="14" t="n">
        <v>769207</v>
      </c>
      <c r="B6" s="15" t="s">
        <v>29</v>
      </c>
      <c r="C6" s="26" t="n">
        <v>2</v>
      </c>
      <c r="D6" s="27" t="n">
        <v>1</v>
      </c>
      <c r="E6" s="33" t="n">
        <v>0</v>
      </c>
      <c r="F6" s="33" t="n">
        <v>1</v>
      </c>
      <c r="G6" s="33" t="n">
        <v>0.8</v>
      </c>
      <c r="H6" s="33" t="n">
        <v>1</v>
      </c>
      <c r="I6" s="33" t="n">
        <v>0.4</v>
      </c>
      <c r="J6" s="28" t="n">
        <v>0.6</v>
      </c>
      <c r="K6" s="20" t="n">
        <f aca="false">IF( ROUND(AVERAGE(D6:I6)+J6*$J$27,2)&gt;1,1,ROUND(AVERAGE(D6:I6)+J6*$J$27,2))</f>
        <v>0.82</v>
      </c>
      <c r="L6" s="26" t="n">
        <v>2</v>
      </c>
      <c r="M6" s="29" t="n">
        <v>0</v>
      </c>
      <c r="N6" s="30" t="n">
        <v>0</v>
      </c>
      <c r="O6" s="30" t="n">
        <v>0</v>
      </c>
      <c r="P6" s="30" t="n">
        <v>0.4</v>
      </c>
      <c r="Q6" s="30" t="n">
        <v>0.9</v>
      </c>
      <c r="R6" s="30" t="n">
        <v>1</v>
      </c>
      <c r="S6" s="31" t="n">
        <v>3</v>
      </c>
      <c r="T6" s="24" t="n">
        <f aca="false">IF( ROUND(AVERAGE(M6:R6)+S6*$J$27,2)&gt;1,1,ROUND(AVERAGE(M6:R6)+S6*$J$27,2))</f>
        <v>0.98</v>
      </c>
      <c r="U6" s="29" t="n">
        <v>0.8</v>
      </c>
      <c r="V6" s="30" t="n">
        <v>1</v>
      </c>
      <c r="W6" s="30" t="n">
        <v>1</v>
      </c>
      <c r="X6" s="30" t="n">
        <v>1</v>
      </c>
      <c r="Y6" s="32" t="n">
        <v>0</v>
      </c>
      <c r="Z6" s="24" t="n">
        <f aca="false">IF( ROUND(AVERAGE(U6:X6)+Y6*$Y$27,2)&gt;1,1,ROUND(AVERAGE(U6:X6)+Y6*$Y$27,2))</f>
        <v>0.95</v>
      </c>
    </row>
    <row r="7" customFormat="false" ht="15.75" hidden="false" customHeight="true" outlineLevel="0" collapsed="false">
      <c r="A7" s="14" t="n">
        <v>215091</v>
      </c>
      <c r="B7" s="15" t="s">
        <v>28</v>
      </c>
      <c r="C7" s="26" t="n">
        <v>2</v>
      </c>
      <c r="D7" s="27" t="n">
        <v>1</v>
      </c>
      <c r="E7" s="33" t="n">
        <v>0</v>
      </c>
      <c r="F7" s="33" t="n">
        <v>1</v>
      </c>
      <c r="G7" s="33" t="n">
        <v>0.8</v>
      </c>
      <c r="H7" s="33" t="n">
        <v>1</v>
      </c>
      <c r="I7" s="33" t="n">
        <v>0</v>
      </c>
      <c r="J7" s="28" t="n">
        <v>0.2</v>
      </c>
      <c r="K7" s="20" t="n">
        <f aca="false">IF( ROUND(AVERAGE(D7:I7)+J7*$J$27,2)&gt;1,1,ROUND(AVERAGE(D7:I7)+J7*$J$27,2))</f>
        <v>0.67</v>
      </c>
      <c r="L7" s="26"/>
      <c r="M7" s="29" t="n">
        <v>0</v>
      </c>
      <c r="N7" s="30"/>
      <c r="O7" s="30"/>
      <c r="P7" s="30"/>
      <c r="Q7" s="30"/>
      <c r="R7" s="30"/>
      <c r="S7" s="31" t="n">
        <v>2</v>
      </c>
      <c r="T7" s="24" t="n">
        <f aca="false">IF( ROUND(AVERAGE(M7:R7)+S7*$J$27,2)&gt;1,1,ROUND(AVERAGE(M7:R7)+S7*$J$27,2))</f>
        <v>0.4</v>
      </c>
      <c r="U7" s="29" t="n">
        <v>0.9</v>
      </c>
      <c r="V7" s="30" t="n">
        <v>1</v>
      </c>
      <c r="W7" s="30" t="n">
        <v>1</v>
      </c>
      <c r="X7" s="30" t="n">
        <v>1</v>
      </c>
      <c r="Y7" s="32" t="n">
        <v>0</v>
      </c>
      <c r="Z7" s="24" t="n">
        <f aca="false">IF( ROUND(AVERAGE(U7:X7)+Y7*$Y$27,2)&gt;1,1,ROUND(AVERAGE(U7:X7)+Y7*$Y$27,2))</f>
        <v>0.98</v>
      </c>
    </row>
    <row r="8" customFormat="false" ht="15.75" hidden="false" customHeight="true" outlineLevel="0" collapsed="false">
      <c r="A8" s="14" t="n">
        <v>445360</v>
      </c>
      <c r="B8" s="15" t="s">
        <v>28</v>
      </c>
      <c r="C8" s="26" t="n">
        <v>1</v>
      </c>
      <c r="D8" s="27" t="n">
        <v>1</v>
      </c>
      <c r="E8" s="33" t="n">
        <v>1</v>
      </c>
      <c r="F8" s="33" t="n">
        <v>1</v>
      </c>
      <c r="G8" s="33" t="n">
        <v>0.9</v>
      </c>
      <c r="H8" s="33" t="n">
        <v>1</v>
      </c>
      <c r="I8" s="33" t="n">
        <v>1</v>
      </c>
      <c r="J8" s="28"/>
      <c r="K8" s="20" t="n">
        <f aca="false">IF( ROUND(AVERAGE(D8:I8)+J8*$J$27,2)&gt;1,1,ROUND(AVERAGE(D8:I8)+J8*$J$27,2))</f>
        <v>0.98</v>
      </c>
      <c r="L8" s="26" t="n">
        <v>1</v>
      </c>
      <c r="M8" s="29" t="n">
        <v>1</v>
      </c>
      <c r="N8" s="30" t="n">
        <v>0</v>
      </c>
      <c r="O8" s="30" t="n">
        <v>0.8</v>
      </c>
      <c r="P8" s="30" t="n">
        <v>1</v>
      </c>
      <c r="Q8" s="30" t="n">
        <v>0.7</v>
      </c>
      <c r="R8" s="30" t="n">
        <v>1</v>
      </c>
      <c r="S8" s="31"/>
      <c r="T8" s="24" t="n">
        <f aca="false">IF( ROUND(AVERAGE(M8:R8)+S8*$J$27,2)&gt;1,1,ROUND(AVERAGE(M8:R8)+S8*$J$27,2))</f>
        <v>0.75</v>
      </c>
      <c r="U8" s="29" t="n">
        <v>0</v>
      </c>
      <c r="V8" s="30"/>
      <c r="W8" s="30"/>
      <c r="X8" s="30"/>
      <c r="Y8" s="32" t="n">
        <v>1.2</v>
      </c>
      <c r="Z8" s="24" t="n">
        <f aca="false">IF( ROUND(AVERAGE(U8:X8)+Y8*$Y$27,2)&gt;1,1,ROUND(AVERAGE(U8:X8)+Y8*$Y$27,2))</f>
        <v>0.24</v>
      </c>
    </row>
    <row r="9" customFormat="false" ht="15.75" hidden="false" customHeight="true" outlineLevel="0" collapsed="false">
      <c r="A9" s="14" t="n">
        <v>219865</v>
      </c>
      <c r="B9" s="15" t="s">
        <v>29</v>
      </c>
      <c r="C9" s="26" t="n">
        <v>1</v>
      </c>
      <c r="D9" s="27" t="n">
        <v>1</v>
      </c>
      <c r="E9" s="33" t="n">
        <v>0.8</v>
      </c>
      <c r="F9" s="33" t="n">
        <v>1</v>
      </c>
      <c r="G9" s="33" t="n">
        <v>0.9</v>
      </c>
      <c r="H9" s="33" t="n">
        <v>0.8</v>
      </c>
      <c r="I9" s="33" t="n">
        <v>1</v>
      </c>
      <c r="J9" s="28"/>
      <c r="K9" s="20" t="n">
        <f aca="false">IF( ROUND(AVERAGE(D9:I9)+J9*$J$27,2)&gt;1,1,ROUND(AVERAGE(D9:I9)+J9*$J$27,2))</f>
        <v>0.92</v>
      </c>
      <c r="L9" s="26" t="n">
        <v>1</v>
      </c>
      <c r="M9" s="29" t="n">
        <v>1</v>
      </c>
      <c r="N9" s="30" t="n">
        <v>0.5</v>
      </c>
      <c r="O9" s="30" t="n">
        <v>0.8</v>
      </c>
      <c r="P9" s="30" t="n">
        <v>0.7</v>
      </c>
      <c r="Q9" s="30" t="n">
        <v>0.7</v>
      </c>
      <c r="R9" s="30" t="n">
        <v>0</v>
      </c>
      <c r="S9" s="31" t="n">
        <v>1</v>
      </c>
      <c r="T9" s="24" t="n">
        <f aca="false">IF( ROUND(AVERAGE(M9:R9)+S9*$J$27,2)&gt;1,1,ROUND(AVERAGE(M9:R9)+S9*$J$27,2))</f>
        <v>0.82</v>
      </c>
      <c r="U9" s="29" t="n">
        <v>1</v>
      </c>
      <c r="V9" s="30" t="n">
        <v>0.9</v>
      </c>
      <c r="W9" s="30" t="n">
        <v>0.6</v>
      </c>
      <c r="X9" s="30" t="n">
        <v>0</v>
      </c>
      <c r="Y9" s="32" t="n">
        <v>0</v>
      </c>
      <c r="Z9" s="24" t="n">
        <f aca="false">IF( ROUND(AVERAGE(U9:X9)+Y9*$Y$27,2)&gt;1,1,ROUND(AVERAGE(U9:X9)+Y9*$Y$27,2))</f>
        <v>0.63</v>
      </c>
    </row>
    <row r="10" customFormat="false" ht="15.75" hidden="false" customHeight="true" outlineLevel="0" collapsed="false">
      <c r="A10" s="14" t="n">
        <v>689636</v>
      </c>
      <c r="B10" s="15" t="s">
        <v>29</v>
      </c>
      <c r="C10" s="26"/>
      <c r="D10" s="27" t="n">
        <v>0</v>
      </c>
      <c r="J10" s="28"/>
      <c r="K10" s="20" t="n">
        <f aca="false">IF( ROUND(AVERAGE(D10:I10)+J10*$J$27,2)&gt;1,1,ROUND(AVERAGE(D10:I10)+J10*$J$27,2))</f>
        <v>0</v>
      </c>
      <c r="L10" s="26"/>
      <c r="M10" s="29" t="n">
        <v>0</v>
      </c>
      <c r="N10" s="30"/>
      <c r="O10" s="30"/>
      <c r="P10" s="30"/>
      <c r="Q10" s="30"/>
      <c r="R10" s="30"/>
      <c r="S10" s="31"/>
      <c r="T10" s="24" t="n">
        <f aca="false">IF( ROUND(AVERAGE(M10:R10)+S10*$J$27,2)&gt;1,1,ROUND(AVERAGE(M10:R10)+S10*$J$27,2))</f>
        <v>0</v>
      </c>
      <c r="U10" s="29" t="n">
        <v>0</v>
      </c>
      <c r="V10" s="30"/>
      <c r="W10" s="30"/>
      <c r="X10" s="30"/>
      <c r="Y10" s="32"/>
      <c r="Z10" s="24" t="n">
        <f aca="false">IF( ROUND(AVERAGE(U10:X10)+Y10*$Y$27,2)&gt;1,1,ROUND(AVERAGE(U10:X10)+Y10*$Y$27,2))</f>
        <v>0</v>
      </c>
    </row>
    <row r="11" customFormat="false" ht="15.75" hidden="false" customHeight="true" outlineLevel="0" collapsed="false">
      <c r="A11" s="14" t="n">
        <v>352672</v>
      </c>
      <c r="B11" s="15" t="s">
        <v>28</v>
      </c>
      <c r="C11" s="26"/>
      <c r="D11" s="27" t="n">
        <v>0</v>
      </c>
      <c r="J11" s="28"/>
      <c r="K11" s="20" t="n">
        <f aca="false">IF( ROUND(AVERAGE(D11:I11)+J11*$J$27,2)&gt;1,1,ROUND(AVERAGE(D11:I11)+J11*$J$27,2))</f>
        <v>0</v>
      </c>
      <c r="L11" s="26"/>
      <c r="M11" s="29" t="n">
        <v>0</v>
      </c>
      <c r="N11" s="30" t="n">
        <v>0</v>
      </c>
      <c r="O11" s="30" t="n">
        <v>0</v>
      </c>
      <c r="P11" s="30" t="n">
        <v>0.7</v>
      </c>
      <c r="Q11" s="30" t="n">
        <v>0.8</v>
      </c>
      <c r="R11" s="30" t="n">
        <v>0.1</v>
      </c>
      <c r="S11" s="31"/>
      <c r="T11" s="24" t="n">
        <f aca="false">IF( ROUND(AVERAGE(M11:R11)+S11*$J$27,2)&gt;1,1,ROUND(AVERAGE(M11:R11)+S11*$J$27,2))</f>
        <v>0.27</v>
      </c>
      <c r="U11" s="29" t="n">
        <v>0</v>
      </c>
      <c r="V11" s="30"/>
      <c r="W11" s="30"/>
      <c r="X11" s="30"/>
      <c r="Y11" s="32"/>
      <c r="Z11" s="24" t="n">
        <f aca="false">IF( ROUND(AVERAGE(U11:X11)+Y11*$Y$27,2)&gt;1,1,ROUND(AVERAGE(U11:X11)+Y11*$Y$27,2))</f>
        <v>0</v>
      </c>
    </row>
    <row r="12" customFormat="false" ht="15.75" hidden="false" customHeight="true" outlineLevel="0" collapsed="false">
      <c r="A12" s="14" t="n">
        <v>781351</v>
      </c>
      <c r="B12" s="15" t="s">
        <v>28</v>
      </c>
      <c r="C12" s="26"/>
      <c r="D12" s="27" t="n">
        <v>0</v>
      </c>
      <c r="J12" s="28"/>
      <c r="K12" s="20" t="n">
        <f aca="false">IF( ROUND(AVERAGE(D12:I12)+J12*$J$27,2)&gt;1,1,ROUND(AVERAGE(D12:I12)+J12*$J$27,2))</f>
        <v>0</v>
      </c>
      <c r="L12" s="26"/>
      <c r="M12" s="29" t="n">
        <v>0</v>
      </c>
      <c r="N12" s="30"/>
      <c r="O12" s="30"/>
      <c r="P12" s="30"/>
      <c r="Q12" s="30"/>
      <c r="R12" s="30"/>
      <c r="S12" s="31"/>
      <c r="T12" s="24" t="n">
        <f aca="false">IF( ROUND(AVERAGE(M12:R12)+S12*$J$27,2)&gt;1,1,ROUND(AVERAGE(M12:R12)+S12*$J$27,2))</f>
        <v>0</v>
      </c>
      <c r="U12" s="29" t="n">
        <v>0</v>
      </c>
      <c r="V12" s="30"/>
      <c r="W12" s="30"/>
      <c r="X12" s="30"/>
      <c r="Y12" s="32"/>
      <c r="Z12" s="24" t="n">
        <f aca="false">IF( ROUND(AVERAGE(U12:X12)+Y12*$Y$27,2)&gt;1,1,ROUND(AVERAGE(U12:X12)+Y12*$Y$27,2))</f>
        <v>0</v>
      </c>
    </row>
    <row r="13" customFormat="false" ht="15.75" hidden="false" customHeight="true" outlineLevel="0" collapsed="false">
      <c r="A13" s="14" t="n">
        <v>200940</v>
      </c>
      <c r="B13" s="15" t="s">
        <v>28</v>
      </c>
      <c r="C13" s="26" t="n">
        <v>1</v>
      </c>
      <c r="D13" s="27" t="n">
        <v>1</v>
      </c>
      <c r="E13" s="33" t="n">
        <v>1</v>
      </c>
      <c r="F13" s="33" t="n">
        <v>1</v>
      </c>
      <c r="G13" s="33" t="n">
        <v>0.9</v>
      </c>
      <c r="H13" s="33" t="n">
        <v>1</v>
      </c>
      <c r="I13" s="33" t="n">
        <v>1</v>
      </c>
      <c r="J13" s="28"/>
      <c r="K13" s="20" t="n">
        <f aca="false">IF( ROUND(AVERAGE(D13:I13)+J13*$J$27,2)&gt;1,1,ROUND(AVERAGE(D13:I13)+J13*$J$27,2))</f>
        <v>0.98</v>
      </c>
      <c r="L13" s="26" t="n">
        <v>1</v>
      </c>
      <c r="M13" s="29" t="n">
        <v>1</v>
      </c>
      <c r="N13" s="30" t="n">
        <v>0</v>
      </c>
      <c r="O13" s="30" t="n">
        <v>0.7</v>
      </c>
      <c r="P13" s="30" t="n">
        <v>1</v>
      </c>
      <c r="Q13" s="30" t="n">
        <v>0.8</v>
      </c>
      <c r="R13" s="30" t="n">
        <v>0.9</v>
      </c>
      <c r="S13" s="31"/>
      <c r="T13" s="24" t="n">
        <f aca="false">IF( ROUND(AVERAGE(M13:R13)+S13*$J$27,2)&gt;1,1,ROUND(AVERAGE(M13:R13)+S13*$J$27,2))</f>
        <v>0.73</v>
      </c>
      <c r="U13" s="29" t="n">
        <v>0</v>
      </c>
      <c r="V13" s="30"/>
      <c r="W13" s="30"/>
      <c r="X13" s="30"/>
      <c r="Y13" s="32" t="n">
        <v>1.2</v>
      </c>
      <c r="Z13" s="24" t="n">
        <f aca="false">IF( ROUND(AVERAGE(U13:X13)+Y13*$Y$27,2)&gt;1,1,ROUND(AVERAGE(U13:X13)+Y13*$Y$27,2))</f>
        <v>0.24</v>
      </c>
    </row>
    <row r="14" customFormat="false" ht="15.75" hidden="false" customHeight="true" outlineLevel="0" collapsed="false">
      <c r="A14" s="14" t="n">
        <v>938663</v>
      </c>
      <c r="B14" s="15" t="s">
        <v>28</v>
      </c>
      <c r="C14" s="26" t="n">
        <v>1</v>
      </c>
      <c r="D14" s="27" t="n">
        <v>1</v>
      </c>
      <c r="E14" s="33" t="n">
        <v>1</v>
      </c>
      <c r="F14" s="33" t="n">
        <v>0.7</v>
      </c>
      <c r="G14" s="33" t="n">
        <v>0.9</v>
      </c>
      <c r="H14" s="33" t="n">
        <v>1</v>
      </c>
      <c r="I14" s="33" t="n">
        <v>1</v>
      </c>
      <c r="J14" s="28"/>
      <c r="K14" s="20" t="n">
        <f aca="false">IF( ROUND(AVERAGE(D14:I14)+J14*$J$27,2)&gt;1,1,ROUND(AVERAGE(D14:I14)+J14*$J$27,2))</f>
        <v>0.93</v>
      </c>
      <c r="L14" s="26" t="n">
        <v>2</v>
      </c>
      <c r="M14" s="29" t="n">
        <v>0.7</v>
      </c>
      <c r="N14" s="30" t="n">
        <v>0</v>
      </c>
      <c r="O14" s="30" t="n">
        <v>0.8</v>
      </c>
      <c r="P14" s="30" t="n">
        <v>0.7</v>
      </c>
      <c r="Q14" s="30" t="n">
        <v>0.7</v>
      </c>
      <c r="R14" s="30" t="n">
        <v>0</v>
      </c>
      <c r="S14" s="31" t="n">
        <v>0.9</v>
      </c>
      <c r="T14" s="24" t="n">
        <f aca="false">IF( ROUND(AVERAGE(M14:R14)+S14*$J$27,2)&gt;1,1,ROUND(AVERAGE(M14:R14)+S14*$J$27,2))</f>
        <v>0.66</v>
      </c>
      <c r="U14" s="29" t="n">
        <v>1</v>
      </c>
      <c r="V14" s="30" t="n">
        <v>1</v>
      </c>
      <c r="W14" s="30" t="n">
        <v>1</v>
      </c>
      <c r="X14" s="30" t="n">
        <v>1</v>
      </c>
      <c r="Y14" s="32"/>
      <c r="Z14" s="24" t="n">
        <f aca="false">IF( ROUND(AVERAGE(U14:X14)+Y14*$Y$27,2)&gt;1,1,ROUND(AVERAGE(U14:X14)+Y14*$Y$27,2))</f>
        <v>1</v>
      </c>
    </row>
    <row r="15" customFormat="false" ht="15.75" hidden="false" customHeight="true" outlineLevel="0" collapsed="false">
      <c r="A15" s="14" t="n">
        <v>957567</v>
      </c>
      <c r="B15" s="15" t="s">
        <v>28</v>
      </c>
      <c r="C15" s="26"/>
      <c r="D15" s="27" t="n">
        <v>0</v>
      </c>
      <c r="J15" s="28"/>
      <c r="K15" s="20" t="n">
        <f aca="false">IF( ROUND(AVERAGE(D15:I15)+J15*$J$27,2)&gt;1,1,ROUND(AVERAGE(D15:I15)+J15*$J$27,2))</f>
        <v>0</v>
      </c>
      <c r="L15" s="26"/>
      <c r="M15" s="29" t="n">
        <v>0</v>
      </c>
      <c r="N15" s="30"/>
      <c r="O15" s="30"/>
      <c r="P15" s="30"/>
      <c r="Q15" s="30"/>
      <c r="R15" s="30"/>
      <c r="S15" s="31"/>
      <c r="T15" s="24" t="n">
        <f aca="false">IF( ROUND(AVERAGE(M15:R15)+S15*$J$27,2)&gt;1,1,ROUND(AVERAGE(M15:R15)+S15*$J$27,2))</f>
        <v>0</v>
      </c>
      <c r="U15" s="29" t="n">
        <v>0</v>
      </c>
      <c r="V15" s="30"/>
      <c r="W15" s="30"/>
      <c r="X15" s="30"/>
      <c r="Y15" s="32"/>
      <c r="Z15" s="24" t="n">
        <f aca="false">IF( ROUND(AVERAGE(U15:X15)+Y15*$Y$27,2)&gt;1,1,ROUND(AVERAGE(U15:X15)+Y15*$Y$27,2))</f>
        <v>0</v>
      </c>
    </row>
    <row r="16" customFormat="false" ht="15.75" hidden="false" customHeight="true" outlineLevel="0" collapsed="false">
      <c r="A16" s="14" t="n">
        <v>250421</v>
      </c>
      <c r="B16" s="15" t="s">
        <v>28</v>
      </c>
      <c r="C16" s="26" t="n">
        <v>2</v>
      </c>
      <c r="D16" s="27" t="n">
        <v>1</v>
      </c>
      <c r="E16" s="33" t="n">
        <v>1</v>
      </c>
      <c r="F16" s="33" t="n">
        <v>1</v>
      </c>
      <c r="G16" s="33" t="n">
        <v>0.8</v>
      </c>
      <c r="H16" s="33" t="n">
        <v>1</v>
      </c>
      <c r="I16" s="33" t="n">
        <v>0</v>
      </c>
      <c r="J16" s="28"/>
      <c r="K16" s="20" t="n">
        <f aca="false">IF( ROUND(AVERAGE(D16:I16)+J16*$J$27,2)&gt;1,1,ROUND(AVERAGE(D16:I16)+J16*$J$27,2))</f>
        <v>0.8</v>
      </c>
      <c r="L16" s="26" t="n">
        <v>2</v>
      </c>
      <c r="M16" s="29" t="n">
        <v>0.7</v>
      </c>
      <c r="N16" s="30" t="n">
        <v>0</v>
      </c>
      <c r="O16" s="30" t="n">
        <v>0</v>
      </c>
      <c r="P16" s="30" t="n">
        <v>0.7</v>
      </c>
      <c r="Q16" s="30" t="n">
        <v>0.7</v>
      </c>
      <c r="R16" s="30" t="n">
        <v>0</v>
      </c>
      <c r="S16" s="31"/>
      <c r="T16" s="24" t="n">
        <f aca="false">IF( ROUND(AVERAGE(M16:R16)+S16*$J$27,2)&gt;1,1,ROUND(AVERAGE(M16:R16)+S16*$J$27,2))</f>
        <v>0.35</v>
      </c>
      <c r="U16" s="29" t="n">
        <v>1</v>
      </c>
      <c r="V16" s="30" t="n">
        <v>0.9</v>
      </c>
      <c r="W16" s="30" t="n">
        <v>1</v>
      </c>
      <c r="X16" s="30" t="n">
        <v>0.8</v>
      </c>
      <c r="Y16" s="32"/>
      <c r="Z16" s="24" t="n">
        <f aca="false">IF( ROUND(AVERAGE(U16:X16)+Y16*$Y$27,2)&gt;1,1,ROUND(AVERAGE(U16:X16)+Y16*$Y$27,2))</f>
        <v>0.93</v>
      </c>
    </row>
    <row r="17" customFormat="false" ht="15.75" hidden="false" customHeight="true" outlineLevel="0" collapsed="false">
      <c r="A17" s="14" t="n">
        <v>95135</v>
      </c>
      <c r="B17" s="15" t="s">
        <v>28</v>
      </c>
      <c r="C17" s="26" t="n">
        <v>2</v>
      </c>
      <c r="D17" s="27" t="n">
        <v>1</v>
      </c>
      <c r="E17" s="33" t="n">
        <v>1</v>
      </c>
      <c r="F17" s="33" t="n">
        <v>1</v>
      </c>
      <c r="G17" s="33" t="n">
        <v>0.8</v>
      </c>
      <c r="H17" s="33" t="n">
        <v>0</v>
      </c>
      <c r="I17" s="33" t="n">
        <v>0</v>
      </c>
      <c r="J17" s="28" t="n">
        <v>0.1</v>
      </c>
      <c r="K17" s="20" t="n">
        <f aca="false">IF( ROUND(AVERAGE(D17:I17)+J17*$J$27,2)&gt;1,1,ROUND(AVERAGE(D17:I17)+J17*$J$27,2))</f>
        <v>0.65</v>
      </c>
      <c r="L17" s="26"/>
      <c r="M17" s="29" t="n">
        <v>0</v>
      </c>
      <c r="N17" s="30"/>
      <c r="O17" s="30"/>
      <c r="P17" s="30"/>
      <c r="Q17" s="30"/>
      <c r="R17" s="30"/>
      <c r="S17" s="31"/>
      <c r="T17" s="24" t="n">
        <f aca="false">IF( ROUND(AVERAGE(M17:R17)+S17*$J$27,2)&gt;1,1,ROUND(AVERAGE(M17:R17)+S17*$J$27,2))</f>
        <v>0</v>
      </c>
      <c r="U17" s="29" t="n">
        <v>0</v>
      </c>
      <c r="V17" s="30"/>
      <c r="W17" s="30"/>
      <c r="X17" s="30"/>
      <c r="Y17" s="32"/>
      <c r="Z17" s="24" t="n">
        <f aca="false">IF( ROUND(AVERAGE(U17:X17)+Y17*$Y$27,2)&gt;1,1,ROUND(AVERAGE(U17:X17)+Y17*$Y$27,2))</f>
        <v>0</v>
      </c>
    </row>
    <row r="18" customFormat="false" ht="15.75" hidden="false" customHeight="true" outlineLevel="0" collapsed="false">
      <c r="A18" s="14" t="n">
        <v>772278</v>
      </c>
      <c r="B18" s="15" t="s">
        <v>28</v>
      </c>
      <c r="C18" s="26" t="n">
        <v>2</v>
      </c>
      <c r="D18" s="27" t="n">
        <v>1</v>
      </c>
      <c r="E18" s="33" t="n">
        <v>1</v>
      </c>
      <c r="F18" s="33" t="n">
        <v>0.8</v>
      </c>
      <c r="G18" s="33" t="n">
        <v>0.8</v>
      </c>
      <c r="H18" s="33" t="n">
        <v>0</v>
      </c>
      <c r="I18" s="33" t="n">
        <v>0</v>
      </c>
      <c r="J18" s="28" t="n">
        <v>0.3</v>
      </c>
      <c r="K18" s="20" t="n">
        <f aca="false">IF( ROUND(AVERAGE(D18:I18)+J18*$J$27,2)&gt;1,1,ROUND(AVERAGE(D18:I18)+J18*$J$27,2))</f>
        <v>0.66</v>
      </c>
      <c r="L18" s="26" t="n">
        <v>1</v>
      </c>
      <c r="M18" s="29" t="n">
        <v>1</v>
      </c>
      <c r="N18" s="30" t="n">
        <v>0.8</v>
      </c>
      <c r="O18" s="30" t="n">
        <v>0.4</v>
      </c>
      <c r="P18" s="30" t="n">
        <v>1</v>
      </c>
      <c r="Q18" s="30" t="n">
        <v>0.6</v>
      </c>
      <c r="R18" s="30" t="n">
        <v>0</v>
      </c>
      <c r="S18" s="31"/>
      <c r="T18" s="24" t="n">
        <f aca="false">IF( ROUND(AVERAGE(M18:R18)+S18*$J$27,2)&gt;1,1,ROUND(AVERAGE(M18:R18)+S18*$J$27,2))</f>
        <v>0.63</v>
      </c>
      <c r="U18" s="29" t="n">
        <v>0</v>
      </c>
      <c r="V18" s="30"/>
      <c r="W18" s="30"/>
      <c r="X18" s="30"/>
      <c r="Y18" s="32"/>
      <c r="Z18" s="24" t="n">
        <f aca="false">IF( ROUND(AVERAGE(U18:X18)+Y18*$Y$27,2)&gt;1,1,ROUND(AVERAGE(U18:X18)+Y18*$Y$27,2))</f>
        <v>0</v>
      </c>
    </row>
    <row r="19" customFormat="false" ht="15.75" hidden="false" customHeight="true" outlineLevel="0" collapsed="false">
      <c r="A19" s="14" t="n">
        <v>758636</v>
      </c>
      <c r="B19" s="15" t="s">
        <v>28</v>
      </c>
      <c r="C19" s="26"/>
      <c r="D19" s="27" t="n">
        <v>0</v>
      </c>
      <c r="J19" s="28"/>
      <c r="K19" s="20" t="n">
        <f aca="false">IF( ROUND(AVERAGE(D19:I19)+J19*$J$27,2)&gt;1,1,ROUND(AVERAGE(D19:I19)+J19*$J$27,2))</f>
        <v>0</v>
      </c>
      <c r="L19" s="26"/>
      <c r="M19" s="29" t="n">
        <v>0</v>
      </c>
      <c r="N19" s="30"/>
      <c r="O19" s="30"/>
      <c r="P19" s="30"/>
      <c r="Q19" s="30"/>
      <c r="R19" s="30"/>
      <c r="S19" s="31"/>
      <c r="T19" s="24" t="n">
        <f aca="false">IF( ROUND(AVERAGE(M19:R19)+S19*$J$27,2)&gt;1,1,ROUND(AVERAGE(M19:R19)+S19*$J$27,2))</f>
        <v>0</v>
      </c>
      <c r="U19" s="29" t="n">
        <v>0</v>
      </c>
      <c r="V19" s="30"/>
      <c r="W19" s="30"/>
      <c r="X19" s="30"/>
      <c r="Y19" s="32"/>
      <c r="Z19" s="24" t="n">
        <f aca="false">IF( ROUND(AVERAGE(U19:X19)+Y19*$Y$27,2)&gt;1,1,ROUND(AVERAGE(U19:X19)+Y19*$Y$27,2))</f>
        <v>0</v>
      </c>
    </row>
    <row r="20" customFormat="false" ht="15.75" hidden="false" customHeight="true" outlineLevel="0" collapsed="false">
      <c r="A20" s="14" t="n">
        <v>79732</v>
      </c>
      <c r="B20" s="15" t="s">
        <v>28</v>
      </c>
      <c r="C20" s="26"/>
      <c r="D20" s="27" t="n">
        <v>0</v>
      </c>
      <c r="J20" s="28"/>
      <c r="K20" s="20" t="n">
        <f aca="false">IF( ROUND(AVERAGE(D20:I20)+J20*$J$27,2)&gt;1,1,ROUND(AVERAGE(D20:I20)+J20*$J$27,2))</f>
        <v>0</v>
      </c>
      <c r="L20" s="26"/>
      <c r="M20" s="29" t="n">
        <v>0</v>
      </c>
      <c r="N20" s="30"/>
      <c r="O20" s="30"/>
      <c r="P20" s="30"/>
      <c r="Q20" s="30"/>
      <c r="R20" s="30"/>
      <c r="S20" s="31"/>
      <c r="T20" s="24" t="n">
        <f aca="false">IF( ROUND(AVERAGE(M20:R20)+S20*$J$27,2)&gt;1,1,ROUND(AVERAGE(M20:R20)+S20*$J$27,2))</f>
        <v>0</v>
      </c>
      <c r="U20" s="29" t="n">
        <v>0</v>
      </c>
      <c r="V20" s="30"/>
      <c r="W20" s="30"/>
      <c r="X20" s="30"/>
      <c r="Y20" s="32"/>
      <c r="Z20" s="24" t="n">
        <f aca="false">IF( ROUND(AVERAGE(U20:X20)+Y20*$Y$27,2)&gt;1,1,ROUND(AVERAGE(U20:X20)+Y20*$Y$27,2))</f>
        <v>0</v>
      </c>
    </row>
    <row r="21" customFormat="false" ht="15.75" hidden="false" customHeight="true" outlineLevel="0" collapsed="false">
      <c r="A21" s="14" t="n">
        <v>416876</v>
      </c>
      <c r="B21" s="15" t="s">
        <v>28</v>
      </c>
      <c r="C21" s="26" t="n">
        <v>1</v>
      </c>
      <c r="D21" s="27" t="n">
        <v>1</v>
      </c>
      <c r="E21" s="33" t="n">
        <v>1</v>
      </c>
      <c r="F21" s="33" t="n">
        <v>1</v>
      </c>
      <c r="G21" s="33" t="n">
        <v>1</v>
      </c>
      <c r="H21" s="33" t="n">
        <v>1</v>
      </c>
      <c r="I21" s="33" t="n">
        <v>0.1</v>
      </c>
      <c r="J21" s="28"/>
      <c r="K21" s="20" t="n">
        <f aca="false">IF( ROUND(AVERAGE(D21:I21)+J21*$J$27,2)&gt;1,1,ROUND(AVERAGE(D21:I21)+J21*$J$27,2))</f>
        <v>0.85</v>
      </c>
      <c r="L21" s="26" t="n">
        <v>1</v>
      </c>
      <c r="M21" s="29" t="n">
        <v>0.8</v>
      </c>
      <c r="N21" s="30" t="n">
        <v>0.7</v>
      </c>
      <c r="O21" s="30" t="n">
        <v>0</v>
      </c>
      <c r="P21" s="30" t="n">
        <v>1</v>
      </c>
      <c r="Q21" s="30" t="n">
        <v>0.6</v>
      </c>
      <c r="R21" s="30" t="n">
        <v>0</v>
      </c>
      <c r="S21" s="31"/>
      <c r="T21" s="24" t="n">
        <f aca="false">IF( ROUND(AVERAGE(M21:R21)+S21*$J$27,2)&gt;1,1,ROUND(AVERAGE(M21:R21)+S21*$J$27,2))</f>
        <v>0.52</v>
      </c>
      <c r="U21" s="29" t="n">
        <v>0</v>
      </c>
      <c r="V21" s="30"/>
      <c r="W21" s="30"/>
      <c r="X21" s="30"/>
      <c r="Y21" s="32"/>
      <c r="Z21" s="24" t="n">
        <f aca="false">IF( ROUND(AVERAGE(U21:X21)+Y21*$Y$27,2)&gt;1,1,ROUND(AVERAGE(U21:X21)+Y21*$Y$27,2))</f>
        <v>0</v>
      </c>
    </row>
    <row r="22" customFormat="false" ht="15.75" hidden="false" customHeight="true" outlineLevel="0" collapsed="false">
      <c r="A22" s="14" t="n">
        <v>717348</v>
      </c>
      <c r="B22" s="15" t="s">
        <v>29</v>
      </c>
      <c r="C22" s="26" t="n">
        <v>2</v>
      </c>
      <c r="D22" s="27" t="n">
        <v>1</v>
      </c>
      <c r="E22" s="33" t="n">
        <v>1</v>
      </c>
      <c r="F22" s="33" t="n">
        <v>1</v>
      </c>
      <c r="G22" s="33" t="n">
        <v>0.8</v>
      </c>
      <c r="H22" s="33" t="n">
        <v>1</v>
      </c>
      <c r="I22" s="33" t="n">
        <v>0</v>
      </c>
      <c r="J22" s="28" t="n">
        <v>0.7</v>
      </c>
      <c r="K22" s="20" t="n">
        <f aca="false">IF( ROUND(AVERAGE(D22:I22)+J22*$J$27,2)&gt;1,1,ROUND(AVERAGE(D22:I22)+J22*$J$27,2))</f>
        <v>0.94</v>
      </c>
      <c r="L22" s="26" t="n">
        <v>1</v>
      </c>
      <c r="M22" s="29" t="n">
        <v>1</v>
      </c>
      <c r="N22" s="30" t="n">
        <v>0.7</v>
      </c>
      <c r="O22" s="30" t="n">
        <v>0.8</v>
      </c>
      <c r="P22" s="30" t="n">
        <v>1</v>
      </c>
      <c r="Q22" s="30" t="n">
        <v>0.8</v>
      </c>
      <c r="R22" s="30" t="n">
        <v>1</v>
      </c>
      <c r="S22" s="31"/>
      <c r="T22" s="24" t="n">
        <f aca="false">IF( ROUND(AVERAGE(M22:R22)+S22*$J$27,2)&gt;1,1,ROUND(AVERAGE(M22:R22)+S22*$J$27,2))</f>
        <v>0.88</v>
      </c>
      <c r="U22" s="29" t="n">
        <v>0.9</v>
      </c>
      <c r="V22" s="30" t="n">
        <v>1</v>
      </c>
      <c r="W22" s="30" t="n">
        <v>1</v>
      </c>
      <c r="X22" s="30" t="n">
        <v>0.8</v>
      </c>
      <c r="Y22" s="32" t="n">
        <v>0</v>
      </c>
      <c r="Z22" s="24" t="n">
        <f aca="false">IF( ROUND(AVERAGE(U22:X22)+Y22*$Y$27,2)&gt;1,1,ROUND(AVERAGE(U22:X22)+Y22*$Y$27,2))</f>
        <v>0.93</v>
      </c>
    </row>
    <row r="23" customFormat="false" ht="15.75" hidden="false" customHeight="true" outlineLevel="0" collapsed="false">
      <c r="A23" s="14" t="n">
        <v>577217</v>
      </c>
      <c r="B23" s="15" t="s">
        <v>28</v>
      </c>
      <c r="C23" s="26" t="n">
        <v>2</v>
      </c>
      <c r="D23" s="27" t="n">
        <v>1</v>
      </c>
      <c r="E23" s="33" t="n">
        <v>1</v>
      </c>
      <c r="F23" s="33" t="n">
        <v>0.9</v>
      </c>
      <c r="G23" s="33" t="n">
        <v>0.8</v>
      </c>
      <c r="H23" s="33" t="n">
        <v>0.8</v>
      </c>
      <c r="I23" s="33" t="n">
        <v>0</v>
      </c>
      <c r="J23" s="28" t="n">
        <v>0.1</v>
      </c>
      <c r="K23" s="20" t="n">
        <f aca="false">IF( ROUND(AVERAGE(D23:I23)+J23*$J$27,2)&gt;1,1,ROUND(AVERAGE(D23:I23)+J23*$J$27,2))</f>
        <v>0.77</v>
      </c>
      <c r="L23" s="26"/>
      <c r="M23" s="29" t="n">
        <v>0</v>
      </c>
      <c r="N23" s="30"/>
      <c r="O23" s="30"/>
      <c r="P23" s="30"/>
      <c r="Q23" s="30"/>
      <c r="R23" s="30"/>
      <c r="S23" s="31"/>
      <c r="T23" s="24" t="n">
        <f aca="false">IF( ROUND(AVERAGE(M23:R23)+S23*$J$27,2)&gt;1,1,ROUND(AVERAGE(M23:R23)+S23*$J$27,2))</f>
        <v>0</v>
      </c>
      <c r="U23" s="29" t="n">
        <v>0</v>
      </c>
      <c r="V23" s="30"/>
      <c r="W23" s="30"/>
      <c r="X23" s="30"/>
      <c r="Y23" s="32"/>
      <c r="Z23" s="24" t="n">
        <f aca="false">IF( ROUND(AVERAGE(U23:X23)+Y23*$Y$27,2)&gt;1,1,ROUND(AVERAGE(U23:X23)+Y23*$Y$27,2))</f>
        <v>0</v>
      </c>
    </row>
    <row r="24" customFormat="false" ht="15.75" hidden="false" customHeight="true" outlineLevel="0" collapsed="false">
      <c r="A24" s="14" t="n">
        <v>401517</v>
      </c>
      <c r="B24" s="15" t="s">
        <v>28</v>
      </c>
      <c r="C24" s="26" t="n">
        <v>2</v>
      </c>
      <c r="D24" s="27" t="n">
        <v>1</v>
      </c>
      <c r="E24" s="33" t="n">
        <v>1</v>
      </c>
      <c r="F24" s="33" t="n">
        <v>1</v>
      </c>
      <c r="G24" s="33" t="n">
        <v>0.8</v>
      </c>
      <c r="H24" s="33" t="n">
        <v>1</v>
      </c>
      <c r="I24" s="33" t="n">
        <v>0</v>
      </c>
      <c r="J24" s="28" t="n">
        <v>0</v>
      </c>
      <c r="K24" s="20" t="n">
        <f aca="false">IF( ROUND(AVERAGE(D24:I24)+J24*$J$27,2)&gt;1,1,ROUND(AVERAGE(D24:I24)+J24*$J$27,2))</f>
        <v>0.8</v>
      </c>
      <c r="L24" s="26" t="n">
        <v>2</v>
      </c>
      <c r="M24" s="29" t="n">
        <v>0.9</v>
      </c>
      <c r="N24" s="30" t="n">
        <v>0.5</v>
      </c>
      <c r="O24" s="30" t="n">
        <v>0.5</v>
      </c>
      <c r="P24" s="30" t="n">
        <v>0.3</v>
      </c>
      <c r="Q24" s="30" t="n">
        <v>1</v>
      </c>
      <c r="R24" s="30" t="n">
        <v>1</v>
      </c>
      <c r="S24" s="31"/>
      <c r="T24" s="24" t="n">
        <f aca="false">IF( ROUND(AVERAGE(M24:R24)+S24*$J$27,2)&gt;1,1,ROUND(AVERAGE(M24:R24)+S24*$J$27,2))</f>
        <v>0.7</v>
      </c>
      <c r="U24" s="29" t="n">
        <v>0</v>
      </c>
      <c r="V24" s="30"/>
      <c r="W24" s="30"/>
      <c r="X24" s="30"/>
      <c r="Y24" s="32" t="n">
        <v>3</v>
      </c>
      <c r="Z24" s="24" t="n">
        <f aca="false">IF( ROUND(AVERAGE(U24:X24)+Y24*$Y$27,2)&gt;1,1,ROUND(AVERAGE(U24:X24)+Y24*$Y$27,2))</f>
        <v>0.6</v>
      </c>
    </row>
    <row r="25" customFormat="false" ht="15.75" hidden="false" customHeight="true" outlineLevel="0" collapsed="false">
      <c r="A25" s="14" t="n">
        <v>845362</v>
      </c>
      <c r="B25" s="15" t="s">
        <v>29</v>
      </c>
      <c r="C25" s="26" t="n">
        <v>2</v>
      </c>
      <c r="D25" s="27" t="n">
        <v>1</v>
      </c>
      <c r="E25" s="33" t="n">
        <v>1</v>
      </c>
      <c r="F25" s="33" t="n">
        <v>1</v>
      </c>
      <c r="G25" s="33" t="n">
        <v>0.8</v>
      </c>
      <c r="H25" s="33" t="n">
        <v>1</v>
      </c>
      <c r="I25" s="33" t="n">
        <v>0</v>
      </c>
      <c r="J25" s="28"/>
      <c r="K25" s="20" t="n">
        <f aca="false">IF( ROUND(AVERAGE(D25:I25)+J25*$J$27,2)&gt;1,1,ROUND(AVERAGE(D25:I25)+J25*$J$27,2))</f>
        <v>0.8</v>
      </c>
      <c r="L25" s="26" t="n">
        <v>1</v>
      </c>
      <c r="M25" s="29" t="n">
        <v>1</v>
      </c>
      <c r="N25" s="30" t="n">
        <v>0</v>
      </c>
      <c r="O25" s="30" t="n">
        <v>0.5</v>
      </c>
      <c r="P25" s="30" t="n">
        <v>1</v>
      </c>
      <c r="Q25" s="30" t="n">
        <v>0.8</v>
      </c>
      <c r="R25" s="30" t="n">
        <v>1</v>
      </c>
      <c r="S25" s="31"/>
      <c r="T25" s="24" t="n">
        <f aca="false">IF( ROUND(AVERAGE(M25:R25)+S25*$J$27,2)&gt;1,1,ROUND(AVERAGE(M25:R25)+S25*$J$27,2))</f>
        <v>0.72</v>
      </c>
      <c r="U25" s="29" t="n">
        <v>0</v>
      </c>
      <c r="V25" s="30"/>
      <c r="W25" s="30"/>
      <c r="X25" s="30"/>
      <c r="Y25" s="32" t="n">
        <v>4</v>
      </c>
      <c r="Z25" s="24" t="n">
        <f aca="false">IF( ROUND(AVERAGE(U25:X25)+Y25*$Y$27,2)&gt;1,1,ROUND(AVERAGE(U25:X25)+Y25*$Y$27,2))</f>
        <v>0.8</v>
      </c>
    </row>
    <row r="26" customFormat="false" ht="15.75" hidden="false" customHeight="true" outlineLevel="0" collapsed="false">
      <c r="A26" s="14" t="n">
        <v>864110</v>
      </c>
      <c r="B26" s="15" t="s">
        <v>28</v>
      </c>
      <c r="C26" s="34" t="n">
        <v>1</v>
      </c>
      <c r="D26" s="35" t="n">
        <v>1</v>
      </c>
      <c r="E26" s="36" t="n">
        <v>1</v>
      </c>
      <c r="F26" s="36" t="n">
        <v>0.5</v>
      </c>
      <c r="G26" s="36" t="n">
        <v>0</v>
      </c>
      <c r="H26" s="36" t="n">
        <v>0</v>
      </c>
      <c r="I26" s="36" t="n">
        <v>1</v>
      </c>
      <c r="J26" s="37" t="n">
        <v>0.4</v>
      </c>
      <c r="K26" s="20" t="n">
        <f aca="false">IF( ROUND(AVERAGE(D26:I26)+J26*$J$27,2)&gt;1,1,ROUND(AVERAGE(D26:I26)+J26*$J$27,2))</f>
        <v>0.66</v>
      </c>
      <c r="L26" s="34" t="n">
        <v>2</v>
      </c>
      <c r="M26" s="38" t="n">
        <v>0.7</v>
      </c>
      <c r="N26" s="39" t="n">
        <v>0.7</v>
      </c>
      <c r="O26" s="39" t="n">
        <v>1</v>
      </c>
      <c r="P26" s="39" t="n">
        <v>0.7</v>
      </c>
      <c r="Q26" s="39" t="n">
        <v>0.6</v>
      </c>
      <c r="R26" s="39" t="n">
        <v>0</v>
      </c>
      <c r="S26" s="40"/>
      <c r="T26" s="24" t="n">
        <f aca="false">IF( ROUND(AVERAGE(M26:R26)+S26*$J$27,2)&gt;1,1,ROUND(AVERAGE(M26:R26)+S26*$J$27,2))</f>
        <v>0.62</v>
      </c>
      <c r="U26" s="38" t="n">
        <v>1</v>
      </c>
      <c r="V26" s="39" t="n">
        <v>1</v>
      </c>
      <c r="W26" s="39" t="n">
        <v>0.7</v>
      </c>
      <c r="X26" s="39" t="n">
        <v>0</v>
      </c>
      <c r="Y26" s="41" t="n">
        <v>0</v>
      </c>
      <c r="Z26" s="24" t="n">
        <f aca="false">IF( ROUND(AVERAGE(U26:X26)+Y26*$Y$27,2)&gt;1,1,ROUND(AVERAGE(U26:X26)+Y26*$Y$27,2))</f>
        <v>0.68</v>
      </c>
    </row>
    <row r="27" customFormat="false" ht="12.75" hidden="false" customHeight="false" outlineLevel="0" collapsed="false">
      <c r="J27" s="6" t="n">
        <v>0.2</v>
      </c>
      <c r="K27" s="18"/>
      <c r="S27" s="6" t="n">
        <v>0.2</v>
      </c>
      <c r="T27" s="18"/>
      <c r="Y27" s="6" t="n">
        <v>0.2</v>
      </c>
    </row>
  </sheetData>
  <mergeCells count="3">
    <mergeCell ref="C1:K1"/>
    <mergeCell ref="L1:T1"/>
    <mergeCell ref="U1:Z1"/>
  </mergeCells>
  <conditionalFormatting sqref="K4:K26">
    <cfRule type="colorScale" priority="2">
      <colorScale>
        <cfvo type="min" val="0"/>
        <cfvo type="percentile" val="50"/>
        <cfvo type="max" val="0"/>
        <color rgb="FFE67C73"/>
        <color rgb="FFFFFFFF"/>
        <color rgb="FF57BB8A"/>
      </colorScale>
    </cfRule>
  </conditionalFormatting>
  <conditionalFormatting sqref="T4:T26">
    <cfRule type="colorScale" priority="3">
      <colorScale>
        <cfvo type="min" val="0"/>
        <cfvo type="percentile" val="50"/>
        <cfvo type="max" val="0"/>
        <color rgb="FFE67C73"/>
        <color rgb="FFFFFFFF"/>
        <color rgb="FF57BB8A"/>
      </colorScale>
    </cfRule>
  </conditionalFormatting>
  <conditionalFormatting sqref="Z4:Z26">
    <cfRule type="colorScale" priority="4">
      <colorScale>
        <cfvo type="min" val="0"/>
        <cfvo type="percentile" val="50"/>
        <cfvo type="max" val="0"/>
        <color rgb="FFE67C73"/>
        <color rgb="FFFFD666"/>
        <color rgb="FF57BB8A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2024-12-19T20:23:02Z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